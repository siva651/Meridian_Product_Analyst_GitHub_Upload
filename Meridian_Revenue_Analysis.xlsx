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<sst xmlns="http://schemas.openxmlformats.org/spreadsheetml/2006/main" count="54" uniqueCount="47">
  <si>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Order ID</t>
  </si>
  <si>
    <t xml:space="preserve">Status</t>
  </si>
  <si>
    <t xml:space="preserve">Subtotal (reported)</t>
  </si>
  <si>
    <t xml:space="preserve">Tax (reported)</t>
  </si>
  <si>
    <t xml:space="preserve">Shipping (reported)</t>
  </si>
  <si>
    <t xml:space="preserve">Total (reported)</t>
  </si>
  <si>
    <t xml:space="preserve">Computed Total (Subtotal+Tax+Shipping)</t>
  </si>
  <si>
    <t xml:space="preserve">Math Check</t>
  </si>
  <si>
    <t xml:space="preserve">Reported in cents?</t>
  </si>
  <si>
    <t xml:space="preserve">Normalized Total (cents)</t>
  </si>
  <si>
    <t xml:space="preserve">Include in Revenue?</t>
  </si>
  <si>
    <t xml:space="preserve">Included Amount (cents)</t>
  </si>
  <si>
    <t xml:space="preserve">Notes</t>
  </si>
  <si>
    <t xml:space="preserve">ord_1001</t>
  </si>
  <si>
    <t xml:space="preserve">shipped</t>
  </si>
  <si>
    <t xml:space="preserve">Yes</t>
  </si>
  <si>
    <t xml:space="preserve">ord_1002</t>
  </si>
  <si>
    <t xml:space="preserve">delivered</t>
  </si>
  <si>
    <t xml:space="preserve">ord_1003</t>
  </si>
  <si>
    <t xml:space="preserve">refunded</t>
  </si>
  <si>
    <t xml:space="preserve">Status not in documented enum (pending/shipped/delivered/cancelled). Excluded from revenue: money was returned.</t>
  </si>
  <si>
    <t xml:space="preserve">ord_1004</t>
  </si>
  <si>
    <t xml:space="preserve">Reported total (6810) != subtotal+tax+shipping (7310). Using reported total; flagging for engineering.</t>
  </si>
  <si>
    <t xml:space="preserve">ord_1005</t>
  </si>
  <si>
    <t xml:space="preserve">customer.email is null, despite docs saying email is always present.</t>
  </si>
  <si>
    <t xml:space="preserve">ord_1006</t>
  </si>
  <si>
    <t xml:space="preserve">No</t>
  </si>
  <si>
    <t xml:space="preserve">Values given as decimal dollars, not integer cents as docs require. Normalized below.</t>
  </si>
  <si>
    <t xml:space="preserve">Total revenue (cents):</t>
  </si>
  <si>
    <t xml:space="preserve">Total revenue ($):</t>
  </si>
  <si>
    <t xml:space="preserve">Meridian Orders — Revenue Reconciliation</t>
  </si>
  <si>
    <t xml:space="preserve">Selected revenue calculation</t>
  </si>
  <si>
    <t xml:space="preserve">Metric</t>
  </si>
  <si>
    <t xml:space="preserve">Value</t>
  </si>
  <si>
    <t xml:space="preserve">Revenue (selected answer)</t>
  </si>
  <si>
    <t xml:space="preserve">Alternative: use computed total for ord_1004</t>
  </si>
  <si>
    <t xml:space="preserve">Alternative: include refunded ord_1003</t>
  </si>
  <si>
    <t xml:space="preserve">Judgment calls / limitations</t>
  </si>
  <si>
    <t xml:space="preserve">1</t>
  </si>
  <si>
    <t xml:space="preserve">Excluded ord_1003 because it is marked refunded; the supplied data does not formally define whether refunded orders are excluded from the revenue metric.</t>
  </si>
  <si>
    <t xml:space="preserve">2</t>
  </si>
  <si>
    <t xml:space="preserve">Interpreted ord_1006 values as dollars and normalized 53.62 to 5,362 cents because the payload violates the documented integer-smallest-unit contract.</t>
  </si>
  <si>
    <t xml:space="preserve">3</t>
  </si>
  <si>
    <t xml:space="preserve">Used ord_1004's reported total (6,810) rather than the component sum (7,310) for the selected answer because the docs call total the amount charged. This should be confirmed with engineering.</t>
  </si>
  <si>
    <t xml:space="preserve">4</t>
  </si>
  <si>
    <t xml:space="preserve">This total reflects only the 6 orders visible across the two retrieved list pages; page 1 incorrectly reported has_more: false, which limits confidence that pagination fully terminated.</t>
  </si>
  <si>
    <t xml:space="preserve">Supporting evidence: see Orders tab for row-level calculations and formula checks.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</si>
</sst>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4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n">
        <v>4500</v>
      </c>
      <c r="D2" s="2" t="n">
        <v>371</v>
      </c>
      <c r="E2" s="2" t="n">
        <v>599</v>
      </c>
      <c r="F2" s="2" t="n">
        <v>5470</v>
      </c>
      <c r="G2" s="3" t="n">
        <f aca="false">C2+D2+E2</f>
        <v>5470</v>
      </c>
      <c r="H2" s="3" t="str">
        <f aca="false">IF(F2=G2,"OK","MISMATCH")</f>
        <v>OK</v>
      </c>
      <c r="I2" s="2" t="s">
        <v>15</v>
      </c>
      <c r="J2" s="3" t="n">
        <f aca="false">IF(I2="No",F2*100,F2)</f>
        <v>5470</v>
      </c>
      <c r="K2" s="3" t="str">
        <f aca="false">IF(B2="refunded","No","Yes")</f>
        <v>Yes</v>
      </c>
      <c r="L2" s="3" t="n">
        <f aca="false">IF(K2="Yes",J2,0)</f>
        <v>5470</v>
      </c>
      <c r="M2" s="4"/>
    </row>
    <row r="3" customFormat="false" ht="15" hidden="false" customHeight="false" outlineLevel="0" collapsed="false">
      <c r="A3" s="2" t="s">
        <v>16</v>
      </c>
      <c r="B3" s="2" t="s">
        <v>17</v>
      </c>
      <c r="C3" s="2" t="n">
        <v>2200</v>
      </c>
      <c r="D3" s="2" t="n">
        <v>181</v>
      </c>
      <c r="E3" s="2" t="n">
        <v>0</v>
      </c>
      <c r="F3" s="2" t="n">
        <v>2381</v>
      </c>
      <c r="G3" s="3" t="n">
        <f aca="false">C3+D3+E3</f>
        <v>2381</v>
      </c>
      <c r="H3" s="3" t="str">
        <f aca="false">IF(F3=G3,"OK","MISMATCH")</f>
        <v>OK</v>
      </c>
      <c r="I3" s="2" t="s">
        <v>15</v>
      </c>
      <c r="J3" s="3" t="n">
        <f aca="false">IF(I3="No",F3*100,F3)</f>
        <v>2381</v>
      </c>
      <c r="K3" s="3" t="str">
        <f aca="false">IF(B3="refunded","No","Yes")</f>
        <v>Yes</v>
      </c>
      <c r="L3" s="3" t="n">
        <f aca="false">IF(K3="Yes",J3,0)</f>
        <v>2381</v>
      </c>
      <c r="M3" s="4"/>
    </row>
    <row r="4" customFormat="false" ht="32.8" hidden="false" customHeight="false" outlineLevel="0" collapsed="false">
      <c r="A4" s="2" t="s">
        <v>18</v>
      </c>
      <c r="B4" s="2" t="s">
        <v>19</v>
      </c>
      <c r="C4" s="2" t="n">
        <v>8900</v>
      </c>
      <c r="D4" s="2" t="n">
        <v>734</v>
      </c>
      <c r="E4" s="2" t="n">
        <v>599</v>
      </c>
      <c r="F4" s="2" t="n">
        <v>10233</v>
      </c>
      <c r="G4" s="3" t="n">
        <f aca="false">C4+D4+E4</f>
        <v>10233</v>
      </c>
      <c r="H4" s="3" t="str">
        <f aca="false">IF(F4=G4,"OK","MISMATCH")</f>
        <v>OK</v>
      </c>
      <c r="I4" s="2" t="s">
        <v>15</v>
      </c>
      <c r="J4" s="3" t="n">
        <f aca="false">IF(I4="No",F4*100,F4)</f>
        <v>10233</v>
      </c>
      <c r="K4" s="3" t="str">
        <f aca="false">IF(B4="refunded","No","Yes")</f>
        <v>No</v>
      </c>
      <c r="L4" s="3" t="n">
        <f aca="false">IF(K4="Yes",J4,0)</f>
        <v>0</v>
      </c>
      <c r="M4" s="4" t="s">
        <v>20</v>
      </c>
    </row>
    <row r="5" customFormat="false" ht="22.35" hidden="false" customHeight="false" outlineLevel="0" collapsed="false">
      <c r="A5" s="2" t="s">
        <v>21</v>
      </c>
      <c r="B5" s="2" t="s">
        <v>14</v>
      </c>
      <c r="C5" s="2" t="n">
        <v>6200</v>
      </c>
      <c r="D5" s="2" t="n">
        <v>511</v>
      </c>
      <c r="E5" s="2" t="n">
        <v>599</v>
      </c>
      <c r="F5" s="2" t="n">
        <v>6810</v>
      </c>
      <c r="G5" s="3" t="n">
        <f aca="false">C5+D5+E5</f>
        <v>7310</v>
      </c>
      <c r="H5" s="3" t="str">
        <f aca="false">IF(F5=G5,"OK","MISMATCH")</f>
        <v>MISMATCH</v>
      </c>
      <c r="I5" s="2" t="s">
        <v>15</v>
      </c>
      <c r="J5" s="3" t="n">
        <f aca="false">IF(I5="No",F5*100,F5)</f>
        <v>6810</v>
      </c>
      <c r="K5" s="3" t="str">
        <f aca="false">IF(B5="refunded","No","Yes")</f>
        <v>Yes</v>
      </c>
      <c r="L5" s="3" t="n">
        <f aca="false">IF(K5="Yes",J5,0)</f>
        <v>6810</v>
      </c>
      <c r="M5" s="4" t="s">
        <v>22</v>
      </c>
    </row>
    <row r="6" customFormat="false" ht="22.35" hidden="false" customHeight="false" outlineLevel="0" collapsed="false">
      <c r="A6" s="2" t="s">
        <v>23</v>
      </c>
      <c r="B6" s="2" t="s">
        <v>17</v>
      </c>
      <c r="C6" s="2" t="n">
        <v>1800</v>
      </c>
      <c r="D6" s="2" t="n">
        <v>148</v>
      </c>
      <c r="E6" s="2" t="n">
        <v>599</v>
      </c>
      <c r="F6" s="2" t="n">
        <v>2547</v>
      </c>
      <c r="G6" s="3" t="n">
        <f aca="false">C6+D6+E6</f>
        <v>2547</v>
      </c>
      <c r="H6" s="3" t="str">
        <f aca="false">IF(F6=G6,"OK","MISMATCH")</f>
        <v>OK</v>
      </c>
      <c r="I6" s="2" t="s">
        <v>15</v>
      </c>
      <c r="J6" s="3" t="n">
        <f aca="false">IF(I6="No",F6*100,F6)</f>
        <v>2547</v>
      </c>
      <c r="K6" s="3" t="str">
        <f aca="false">IF(B6="refunded","No","Yes")</f>
        <v>Yes</v>
      </c>
      <c r="L6" s="3" t="n">
        <f aca="false">IF(K6="Yes",J6,0)</f>
        <v>2547</v>
      </c>
      <c r="M6" s="4" t="s">
        <v>24</v>
      </c>
    </row>
    <row r="7" customFormat="false" ht="22.35" hidden="false" customHeight="false" outlineLevel="0" collapsed="false">
      <c r="A7" s="2" t="s">
        <v>25</v>
      </c>
      <c r="B7" s="2" t="s">
        <v>14</v>
      </c>
      <c r="C7" s="2" t="n">
        <v>44</v>
      </c>
      <c r="D7" s="2" t="n">
        <v>3.63</v>
      </c>
      <c r="E7" s="2" t="n">
        <v>5.99</v>
      </c>
      <c r="F7" s="2" t="n">
        <v>53.62</v>
      </c>
      <c r="G7" s="3" t="n">
        <f aca="false">C7+D7+E7</f>
        <v>53.62</v>
      </c>
      <c r="H7" s="3" t="str">
        <f aca="false">IF(F7=G7,"OK","MISMATCH")</f>
        <v>OK</v>
      </c>
      <c r="I7" s="2" t="s">
        <v>26</v>
      </c>
      <c r="J7" s="3" t="n">
        <f aca="false">IF(I7="No",F7*100,F7)</f>
        <v>5362</v>
      </c>
      <c r="K7" s="3" t="str">
        <f aca="false">IF(B7="refunded","No","Yes")</f>
        <v>Yes</v>
      </c>
      <c r="L7" s="3" t="n">
        <f aca="false">IF(K7="Yes",J7,0)</f>
        <v>5362</v>
      </c>
      <c r="M7" s="4" t="s">
        <v>27</v>
      </c>
    </row>
    <row r="9" customFormat="false" ht="15" hidden="false" customHeight="false" outlineLevel="0" collapsed="false">
      <c r="K9" s="5" t="s">
        <v>28</v>
      </c>
      <c r="L9" s="5" t="n">
        <f aca="false">SUM(L2:L7)</f>
        <v>22570</v>
      </c>
    </row>
    <row r="10" customFormat="false" ht="15" hidden="false" customHeight="false" outlineLevel="0" collapsed="false">
      <c r="K10" s="5" t="s">
        <v>29</v>
      </c>
      <c r="L10" s="5" t="n">
        <f aca="false">L9/100</f>
        <v>225.7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</cols>
  <sheetData>
    <row r="1" customFormat="false" ht="16.15" hidden="false" customHeight="false" outlineLevel="0" collapsed="false">
      <c r="A1" s="6" t="s">
        <v>30</v>
      </c>
    </row>
    <row r="3" customFormat="false" ht="15" hidden="false" customHeight="false" outlineLevel="0" collapsed="false">
      <c r="A3" s="5" t="s">
        <v>31</v>
      </c>
    </row>
    <row r="4" customFormat="false" ht="15" hidden="false" customHeight="false" outlineLevel="0" collapsed="false">
      <c r="A4" s="5" t="s">
        <v>32</v>
      </c>
      <c r="B4" s="5" t="s">
        <v>33</v>
      </c>
    </row>
    <row r="5" customFormat="false" ht="15" hidden="false" customHeight="false" outlineLevel="0" collapsed="false">
      <c r="A5" s="0" t="s">
        <v>34</v>
      </c>
      <c r="B5" s="7" t="n">
        <f aca="false">Orders!L9/100</f>
        <v>225.7</v>
      </c>
    </row>
    <row r="6" customFormat="false" ht="15" hidden="false" customHeight="false" outlineLevel="0" collapsed="false">
      <c r="A6" s="0" t="s">
        <v>35</v>
      </c>
      <c r="B6" s="7" t="n">
        <f aca="false">(Orders!L9 - Orders!J5 + Orders!G5)/100</f>
        <v>230.7</v>
      </c>
    </row>
    <row r="7" customFormat="false" ht="15" hidden="false" customHeight="false" outlineLevel="0" collapsed="false">
      <c r="A7" s="0" t="s">
        <v>36</v>
      </c>
      <c r="B7" s="7" t="n">
        <f aca="false">(Orders!L9 + Orders!J4)/100</f>
        <v>328.03</v>
      </c>
    </row>
    <row r="9" customFormat="false" ht="15" hidden="false" customHeight="false" outlineLevel="0" collapsed="false">
      <c r="A9" s="5" t="s">
        <v>37</v>
      </c>
    </row>
    <row r="10" customFormat="false" ht="45" hidden="false" customHeight="true" outlineLevel="0" collapsed="false">
      <c r="A10" s="5" t="s">
        <v>38</v>
      </c>
      <c r="B10" s="8" t="s">
        <v>39</v>
      </c>
    </row>
    <row r="11" customFormat="false" ht="45" hidden="false" customHeight="true" outlineLevel="0" collapsed="false">
      <c r="A11" s="5" t="s">
        <v>40</v>
      </c>
      <c r="B11" s="8" t="s">
        <v>41</v>
      </c>
    </row>
    <row r="12" customFormat="false" ht="45" hidden="false" customHeight="true" outlineLevel="0" collapsed="false">
      <c r="A12" s="5" t="s">
        <v>42</v>
      </c>
      <c r="B12" s="8" t="s">
        <v>43</v>
      </c>
    </row>
    <row r="13" customFormat="false" ht="45" hidden="false" customHeight="true" outlineLevel="0" collapsed="false">
      <c r="A13" s="5" t="s">
        <v>44</v>
      </c>
      <c r="B13" s="8" t="s">
        <v>45</v>
      </c>
    </row>
    <row r="15" customFormat="false" ht="15" hidden="false" customHeight="false" outlineLevel="0" collapsed="false">
      <c r="A15" s="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2026-09-23T05:13:30Z</dcterms:created>
  <dc:creator>openpyxl</dc:creator>
  <dc:description/>
  <dc:language>en-US</dc:language>
  <cp:lastModifiedBy/>
  <dcterms:modified xsi:type="dcterms:W3CDTF">2026-09-23T05:13:30Z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